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C E R\Desktop\Analytics\Excel_Data_Analytics_Course-main\2_Formulas_Functions\"/>
    </mc:Choice>
  </mc:AlternateContent>
  <xr:revisionPtr revIDLastSave="0" documentId="13_ncr:1_{2B03CACF-AEC1-4C9D-A2C9-D5B1D53ABB38}" xr6:coauthVersionLast="47" xr6:coauthVersionMax="47" xr10:uidLastSave="{00000000-0000-0000-0000-000000000000}"/>
  <bookViews>
    <workbookView xWindow="-98" yWindow="-98" windowWidth="21795" windowHeight="13695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0" l="1"/>
  <c r="T17" i="10"/>
  <c r="T18" i="10"/>
  <c r="T19" i="10"/>
  <c r="T20" i="10"/>
  <c r="T21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" i="10"/>
  <c r="Q3" i="10" a="1"/>
  <c r="Q3" i="10" s="1"/>
  <c r="Q4" i="10" a="1"/>
  <c r="Q4" i="10" s="1"/>
  <c r="Q5" i="10" a="1"/>
  <c r="Q5" i="10"/>
  <c r="Q6" i="10" a="1"/>
  <c r="Q6" i="10"/>
  <c r="Q7" i="10" a="1"/>
  <c r="Q7" i="10"/>
  <c r="Q8" i="10" a="1"/>
  <c r="Q8" i="10"/>
  <c r="Q9" i="10" a="1"/>
  <c r="Q9" i="10"/>
  <c r="Q10" i="10" a="1"/>
  <c r="Q10" i="10" s="1"/>
  <c r="Q11" i="10" a="1"/>
  <c r="Q11" i="10"/>
  <c r="Q12" i="10" a="1"/>
  <c r="Q12" i="10" s="1"/>
  <c r="Q13" i="10" a="1"/>
  <c r="Q13" i="10"/>
  <c r="Q14" i="10" a="1"/>
  <c r="Q14" i="10"/>
  <c r="Q15" i="10" a="1"/>
  <c r="Q15" i="10"/>
  <c r="Q16" i="10" a="1"/>
  <c r="Q16" i="10"/>
  <c r="Q17" i="10" a="1"/>
  <c r="Q17" i="10"/>
  <c r="Q18" i="10" a="1"/>
  <c r="Q18" i="10"/>
  <c r="Q19" i="10" a="1"/>
  <c r="Q19" i="10"/>
  <c r="Q20" i="10" a="1"/>
  <c r="Q20" i="10" s="1"/>
  <c r="Q21" i="10" a="1"/>
  <c r="Q21" i="10" s="1"/>
  <c r="Q2" i="10" a="1"/>
  <c r="Q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3" i="7"/>
  <c r="Q4" i="7"/>
  <c r="Q5" i="7"/>
  <c r="Q6" i="7"/>
  <c r="Q7" i="7"/>
  <c r="Q8" i="7"/>
  <c r="Q9" i="7"/>
  <c r="Q10" i="7"/>
  <c r="Q11" i="7"/>
  <c r="Q12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<sst xmlns="http://schemas.openxmlformats.org/spreadsheetml/2006/main" count="398" uniqueCount="146">
  <si>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</si>
  <si>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</si>
  <si>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</si>
  <si>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</si>
  <si>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</si>
  <si>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</si>
  <si>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</si>
  <si>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</si>
  <si>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</si>
  <si>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</si>
  <si>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</si>
  <si>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</si>
  <si>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</si>
  <si>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</si>
  <si>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</si>
  <si>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</si>
  <si>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</si>
  <si>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</si>
  <si>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</si>
  <si>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</si>
  <si>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</si>
  <si>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</si>
  <si>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</si>
  <si>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</si>
  <si>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</si>
  <si>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</si>
  <si>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</si>
  <si>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</si>
  <si>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</si>
  <si>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</si>
  <si>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</si>
  <si>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</si>
  <si>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</si>
  <si>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</si>
  <si>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</si>
  <si>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</si>
  <si>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</si>
  <si>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</si>
  <si>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</si>
  <si>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</si>
  <si>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</si>
  <si>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</si>
  <si>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</si>
  <si>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</si>
  <si>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</si>
  <si>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</si>
  <si>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</si>
  <si>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</si>
  <si>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</si>
  <si>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</si>
  <si>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</si>
  <si>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</si>
  <si>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</si>
  <si>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</si>
  <si>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</si>
  <si>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</si>
  <si>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</si>
  <si>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</si>
  <si>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</si>
  <si>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</si>
  <si>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</si>
  <si>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</si>
  <si>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</si>
  <si>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</si>
  <si>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</si>
  <si>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</si>
  <si>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</si>
  <si>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</si>
  <si>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</si>
  <si>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</si>
  <si>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</si>
  <si>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</si>
  <si>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</si>
  <si>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</si>
  <si>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</si>
  <si>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</si>
  <si>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</si>
  <si>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</si>
  <si>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</si>
  <si>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</si>
  <si>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</si>
  <si>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</si>
  <si>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</si>
  <si>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</si>
  <si>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</si>
  <si>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</si>
  <si>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</si>
  <si>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</si>
  <si>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</si>
  <si>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</si>
  <si>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</si>
  <si>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</si>
  <si>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</si>
  <si>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</si>
  <si>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</si>
  <si>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</si>
  <si>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</si>
  <si>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</si>
  <si>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</si>
  <si>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</si>
  <si>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</si>
  <si>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</si>
  <si>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</si>
  <si>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</si>
  <si>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</si>
  <si>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</si>
  <si>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</si>
  <si>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</si>
  <si>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</si>
  <si>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</si>
  <si>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</si>
  <si>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</si>
  <si>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</si>
  <si>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</si>
  <si>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</si>
  <si>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</si>
  <si>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</si>
  <si>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</si>
  <si>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</si>
  <si>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</si>
  <si>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</si>
  <si>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</si>
  <si>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</si>
  <si>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</si>
  <si>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</si>
  <si>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</si>
  <si>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</si>
  <si>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</si>
  <si>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</si>
  <si>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</si>
  <si>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</si>
  <si>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</si>
  <si>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</si>
  <si>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</si>
  <si>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</si>
  <si>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</si>
  <si>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</si>
  <si>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</si>
  <si>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</si>
  <si>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</si>
  <si>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</si>
  <si>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</si>
  <si>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</si>
  <si>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</si>
  <si>
    <t>Check</t>
  </si>
  <si>
    <t>Not Desired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</si>
</sst>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0" fontId="6" fillId="0" borderId="18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4" sqref="Q4"/>
    </sheetView>
  </sheetViews>
  <sheetFormatPr defaultColWidth="9.1328125" defaultRowHeight="14.25" x14ac:dyDescent="0.45"/>
  <cols>
    <col min="1" max="1" width="5.1328125" style="1" customWidth="1"/>
    <col min="2" max="2" width="22.6640625" style="1" bestFit="1" customWidth="1"/>
    <col min="3" max="3" width="18.265625" style="1" bestFit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.1328125" style="1" hidden="1" customWidth="1"/>
    <col min="8" max="9" width="11.1328125" style="1" hidden="1" customWidth="1"/>
    <col min="10" max="10" width="17.265625" style="1" hidden="1" customWidth="1"/>
    <col min="11" max="11" width="14.265625" style="1" hidden="1" customWidth="1"/>
    <col min="12" max="12" width="10.265625" style="1" customWidth="1"/>
    <col min="13" max="13" width="9.1328125" style="1" customWidth="1"/>
    <col min="14" max="14" width="10.3984375" style="1" hidden="1" customWidth="1"/>
    <col min="15" max="15" width="14.1328125" style="1" hidden="1" customWidth="1"/>
    <col min="16" max="16" width="9.6640625" style="1" customWidth="1"/>
    <col min="17" max="17" width="11.46484375" style="1" bestFit="1" customWidth="1"/>
    <col min="18" max="18" width="14.1328125" style="1" bestFit="1" customWidth="1"/>
    <col min="19" max="16384" width="9.1328125" style="1"/>
  </cols>
  <sheetData>
    <row r="1" spans="2:17" ht="14.65" thickBot="1" x14ac:dyDescent="0.5">
      <c r="G1" s="25"/>
    </row>
    <row r="2" spans="2:17" s="11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"Goal Not Met")</f>
        <v>Goal Met</v>
      </c>
    </row>
    <row r="4" spans="2:17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"Goal Not Met")</f>
        <v>Goal Not Met</v>
      </c>
    </row>
    <row r="5" spans="2:17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4.65" thickBot="1" x14ac:dyDescent="0.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4.65" thickBot="1" x14ac:dyDescent="0.5">
      <c r="B14" s="17" t="s">
        <v>25</v>
      </c>
    </row>
    <row r="15" spans="2:17" x14ac:dyDescent="0.45">
      <c r="B15" s="13" t="s">
        <v>22</v>
      </c>
      <c r="C15" s="14">
        <v>5</v>
      </c>
    </row>
    <row r="16" spans="2:17" ht="14.65" thickBot="1" x14ac:dyDescent="0.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328125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.1328125" style="1" hidden="1" customWidth="1"/>
    <col min="8" max="9" width="11.1328125" style="1" hidden="1" customWidth="1"/>
    <col min="10" max="10" width="17.265625" style="1" hidden="1" customWidth="1"/>
    <col min="11" max="11" width="14.265625" style="1" hidden="1" customWidth="1"/>
    <col min="12" max="12" width="10.265625" style="1" hidden="1" customWidth="1"/>
    <col min="13" max="13" width="9.1328125" style="1" hidden="1" customWidth="1"/>
    <col min="14" max="14" width="10.3984375" style="1" hidden="1" customWidth="1"/>
    <col min="15" max="15" width="14.1328125" style="1" hidden="1" customWidth="1"/>
    <col min="16" max="16" width="9.6640625" style="1" hidden="1" customWidth="1"/>
    <col min="17" max="17" width="9.6640625" style="1" customWidth="1"/>
    <col min="18" max="18" width="9.1328125" style="1"/>
    <col min="19" max="19" width="14.1328125" style="1" bestFit="1" customWidth="1"/>
    <col min="20" max="16384" width="9.1328125" style="1"/>
  </cols>
  <sheetData>
    <row r="1" spans="2:17" ht="14.65" thickBot="1" x14ac:dyDescent="0.5">
      <c r="G1" s="25"/>
    </row>
    <row r="2" spans="2:17" s="11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4.65" thickBot="1" x14ac:dyDescent="0.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4.65" thickBot="1" x14ac:dyDescent="0.5">
      <c r="B14" s="17" t="s">
        <v>25</v>
      </c>
    </row>
    <row r="15" spans="2:17" x14ac:dyDescent="0.45">
      <c r="B15" s="13" t="s">
        <v>22</v>
      </c>
      <c r="C15" s="14">
        <v>5</v>
      </c>
    </row>
    <row r="16" spans="2:17" ht="14.65" thickBot="1" x14ac:dyDescent="0.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T21"/>
  <sheetViews>
    <sheetView tabSelected="1" workbookViewId="0">
      <pane xSplit="1" topLeftCell="E1" activePane="topRight" state="frozen"/>
      <selection pane="topRight" activeCell="R2" sqref="R2"/>
    </sheetView>
  </sheetViews>
  <sheetFormatPr defaultRowHeight="14.25" x14ac:dyDescent="0.45"/>
  <cols>
    <col min="1" max="1" width="16.86328125" bestFit="1" customWidth="1"/>
    <col min="2" max="2" width="19.1328125" customWidth="1"/>
    <col min="3" max="3" width="21.86328125" customWidth="1"/>
    <col min="4" max="4" width="5.33203125" hidden="1" customWidth="1"/>
    <col min="5" max="5" width="38.1328125" bestFit="1" customWidth="1"/>
    <col min="6" max="6" width="14.59765625" bestFit="1" customWidth="1"/>
    <col min="7" max="7" width="18.59765625" bestFit="1" customWidth="1"/>
    <col min="8" max="8" width="13.86328125" bestFit="1" customWidth="1"/>
    <col min="9" max="9" width="19" hidden="1" customWidth="1"/>
    <col min="10" max="10" width="68.1328125" hidden="1" customWidth="1"/>
    <col min="11" max="11" width="10.9296875" bestFit="1" customWidth="1"/>
    <col min="12" max="12" width="14.265625" bestFit="1" customWidth="1"/>
    <col min="13" max="13" width="9.9296875" bestFit="1" customWidth="1"/>
    <col min="14" max="14" width="7.33203125" bestFit="1" customWidth="1"/>
    <col min="15" max="15" width="5.53125" bestFit="1" customWidth="1"/>
    <col min="16" max="16" width="9.3984375" bestFit="1" customWidth="1"/>
    <col min="17" max="17" width="10.33203125" bestFit="1" customWidth="1"/>
    <col min="18" max="18" width="10" bestFit="1" customWidth="1"/>
  </cols>
  <sheetData>
    <row r="1" spans="1:20" x14ac:dyDescent="0.4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S1" s="48" t="s">
        <v>144</v>
      </c>
      <c r="T1" s="48" t="s">
        <v>144</v>
      </c>
    </row>
    <row r="2" spans="1:20" x14ac:dyDescent="0.4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IF($A2=$K$1, "Desired", "Not Desired")</f>
        <v>Not Desired</v>
      </c>
      <c r="L2" t="str">
        <f>IF($A2=L$1, "Desired", "Not Desired")</f>
        <v>Not Desired</v>
      </c>
      <c r="M2" t="str">
        <f>IF($A2=K$1, "Desired", IF($A2=L$1, "Desired","Not Desired"))</f>
        <v>Not Desired</v>
      </c>
      <c r="N2" t="b">
        <f>AND(Data_2!$K$1=$A2,Data_2!$L$1=$A2)</f>
        <v>0</v>
      </c>
      <c r="O2" t="b">
        <f>OR($K$1=$A2,$L$1=$A2)</f>
        <v>0</v>
      </c>
      <c r="P2" t="s">
        <v>145</v>
      </c>
      <c r="Q2" t="str" cm="1">
        <f t="array" ref="Q2">_xlfn.IFS($H2="","No Data",$H2&lt;$Q$1,"Low Salary",$H2&gt;$Q$1,"Salary &gt; 85k",$H2=$Q$1,"85k")</f>
        <v>Salary &gt; 85k</v>
      </c>
      <c r="R2" t="str">
        <f>IF($H2&gt;$Q$1,"Salary &gt; 85k",IF($H2=$Q$1,"85k",IF($H2="","No Data","Low Salary")))</f>
        <v>Salary &gt; 85k</v>
      </c>
      <c r="S2" t="b">
        <f>P2=M2</f>
        <v>1</v>
      </c>
      <c r="T2" t="b">
        <f>Q2=R2</f>
        <v>1</v>
      </c>
    </row>
    <row r="3" spans="1:20" x14ac:dyDescent="0.4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IF($A3=$K$1, "Desired", "Not Desired")</f>
        <v>Desired</v>
      </c>
      <c r="L3" t="str">
        <f t="shared" ref="L3:L21" si="1">IF($A3=L$1, "Desired", "Not Desired")</f>
        <v>Not Desired</v>
      </c>
      <c r="M3" t="str">
        <f t="shared" ref="M3:M21" si="2">IF($A3=K$1, "Desired", IF($A3=L$1, "Desired","Not Desired"))</f>
        <v>Desired</v>
      </c>
      <c r="N3" t="b">
        <f>AND(Data_2!$K$1=$A3,Data_2!$L$1=$A3)</f>
        <v>0</v>
      </c>
      <c r="O3" t="b">
        <f t="shared" ref="O3:O21" si="3">OR($K$1=$A3,$L$1=$A3)</f>
        <v>1</v>
      </c>
      <c r="P3" t="str">
        <f t="shared" ref="P3:P21" si="4">IF(OR($K$1=$A3,$L$1=$A3),"Desired","Not Desired")</f>
        <v>Desired</v>
      </c>
      <c r="Q3" t="str" cm="1">
        <f t="array" ref="Q3">_xlfn.IFS($H3="","No Data",$H3&lt;$Q$1,"Low Salary",$H3&gt;$Q$1,"Salary &gt; 85k",$H3=$Q$1,"85k")</f>
        <v>Low Salary</v>
      </c>
      <c r="R3" t="str">
        <f t="shared" ref="R3:R21" si="5">IF($H3&gt;$Q$1,"Salary &gt; 85k",IF($H3=$Q$1,"85k",IF($H3="","No Data","Low Salary")))</f>
        <v>Low Salary</v>
      </c>
      <c r="S3" t="b">
        <f t="shared" ref="S3:S21" si="6">P3=M3</f>
        <v>1</v>
      </c>
      <c r="T3" t="b">
        <f t="shared" ref="T3:T21" si="7">Q3=R3</f>
        <v>1</v>
      </c>
    </row>
    <row r="4" spans="1:20" x14ac:dyDescent="0.4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>
        <v>85000</v>
      </c>
      <c r="I4" s="27" t="b">
        <v>0</v>
      </c>
      <c r="J4" s="27" t="s">
        <v>72</v>
      </c>
      <c r="K4" t="str">
        <f t="shared" si="0"/>
        <v>Desired</v>
      </c>
      <c r="L4" t="str">
        <f t="shared" si="1"/>
        <v>Not Desired</v>
      </c>
      <c r="M4" t="str">
        <f t="shared" si="2"/>
        <v>Desired</v>
      </c>
      <c r="N4" t="b">
        <f>AND(Data_2!$K$1=$A4,Data_2!$L$1=$A4)</f>
        <v>0</v>
      </c>
      <c r="O4" t="b">
        <f t="shared" si="3"/>
        <v>1</v>
      </c>
      <c r="P4" t="str">
        <f t="shared" si="4"/>
        <v>Desired</v>
      </c>
      <c r="Q4" t="str" cm="1">
        <f t="array" ref="Q4">_xlfn.IFS($H4="","No Data",$H4&lt;$Q$1,"Low Salary",$H4&gt;$Q$1,"Salary &gt; 85k",$H4=$Q$1,"85k")</f>
        <v>85k</v>
      </c>
      <c r="R4" t="str">
        <f t="shared" si="5"/>
        <v>85k</v>
      </c>
      <c r="S4" t="b">
        <f t="shared" si="6"/>
        <v>1</v>
      </c>
      <c r="T4" t="b">
        <f t="shared" si="7"/>
        <v>1</v>
      </c>
    </row>
    <row r="5" spans="1:20" x14ac:dyDescent="0.4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>AND(Data_2!$K$1=$A5,Data_2!$L$1=$A5)</f>
        <v>0</v>
      </c>
      <c r="O5" t="b">
        <f t="shared" si="3"/>
        <v>0</v>
      </c>
      <c r="P5" t="str">
        <f t="shared" si="4"/>
        <v>Not Desired</v>
      </c>
      <c r="Q5" t="str" cm="1">
        <f t="array" ref="Q5">_xlfn.IFS($H5="","No Data",$H5&lt;$Q$1,"Low Salary",$H5&gt;$Q$1,"Salary &gt; 85k",$H5=$Q$1,"85k")</f>
        <v>No Data</v>
      </c>
      <c r="R5" t="str">
        <f t="shared" si="5"/>
        <v>No Data</v>
      </c>
      <c r="S5" t="b">
        <f t="shared" si="6"/>
        <v>1</v>
      </c>
      <c r="T5" t="b">
        <f t="shared" si="7"/>
        <v>1</v>
      </c>
    </row>
    <row r="6" spans="1:20" x14ac:dyDescent="0.4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>AND(Data_2!$K$1=$A6,Data_2!$L$1=$A6)</f>
        <v>0</v>
      </c>
      <c r="O6" t="b">
        <f t="shared" si="3"/>
        <v>0</v>
      </c>
      <c r="P6" t="str">
        <f t="shared" si="4"/>
        <v>Not Desired</v>
      </c>
      <c r="Q6" t="str" cm="1">
        <f t="array" ref="Q6">_xlfn.IFS($H6="","No Data",$H6&lt;$Q$1,"Low Salary",$H6&gt;$Q$1,"Salary &gt; 85k",$H6=$Q$1,"85k")</f>
        <v>No Data</v>
      </c>
      <c r="R6" t="str">
        <f t="shared" si="5"/>
        <v>No Data</v>
      </c>
      <c r="S6" t="b">
        <f t="shared" si="6"/>
        <v>1</v>
      </c>
      <c r="T6" t="b">
        <f t="shared" si="7"/>
        <v>1</v>
      </c>
    </row>
    <row r="7" spans="1:20" x14ac:dyDescent="0.4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>AND(Data_2!$K$1=$A7,Data_2!$L$1=$A7)</f>
        <v>0</v>
      </c>
      <c r="O7" t="b">
        <f t="shared" si="3"/>
        <v>0</v>
      </c>
      <c r="P7" t="str">
        <f t="shared" si="4"/>
        <v>Not Desired</v>
      </c>
      <c r="Q7" t="str" cm="1">
        <f t="array" ref="Q7">_xlfn.IFS($H7="","No Data",$H7&lt;$Q$1,"Low Salary",$H7&gt;$Q$1,"Salary &gt; 85k",$H7=$Q$1,"85k")</f>
        <v>No Data</v>
      </c>
      <c r="R7" t="str">
        <f t="shared" si="5"/>
        <v>No Data</v>
      </c>
      <c r="S7" t="b">
        <f t="shared" si="6"/>
        <v>1</v>
      </c>
      <c r="T7" t="b">
        <f t="shared" si="7"/>
        <v>1</v>
      </c>
    </row>
    <row r="8" spans="1:20" x14ac:dyDescent="0.4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1"/>
        <v>Not Desired</v>
      </c>
      <c r="M8" t="str">
        <f t="shared" si="2"/>
        <v>Desired</v>
      </c>
      <c r="N8" t="b">
        <f>AND(Data_2!$K$1=$A8,Data_2!$L$1=$A8)</f>
        <v>0</v>
      </c>
      <c r="O8" t="b">
        <f t="shared" si="3"/>
        <v>1</v>
      </c>
      <c r="P8" t="str">
        <f t="shared" si="4"/>
        <v>Desired</v>
      </c>
      <c r="Q8" t="str" cm="1">
        <f t="array" ref="Q8">_xlfn.IFS($H8="","No Data",$H8&lt;$Q$1,"Low Salary",$H8&gt;$Q$1,"Salary &gt; 85k",$H8=$Q$1,"85k")</f>
        <v>No Data</v>
      </c>
      <c r="R8" t="str">
        <f t="shared" si="5"/>
        <v>No Data</v>
      </c>
      <c r="S8" t="b">
        <f t="shared" si="6"/>
        <v>1</v>
      </c>
      <c r="T8" t="b">
        <f t="shared" si="7"/>
        <v>1</v>
      </c>
    </row>
    <row r="9" spans="1:20" x14ac:dyDescent="0.4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1"/>
        <v>Not Desired</v>
      </c>
      <c r="M9" t="str">
        <f t="shared" si="2"/>
        <v>Desired</v>
      </c>
      <c r="N9" t="b">
        <f>AND(Data_2!$K$1=$A9,Data_2!$L$1=$A9)</f>
        <v>0</v>
      </c>
      <c r="O9" t="b">
        <f t="shared" si="3"/>
        <v>1</v>
      </c>
      <c r="P9" t="str">
        <f t="shared" si="4"/>
        <v>Desired</v>
      </c>
      <c r="Q9" t="str" cm="1">
        <f t="array" ref="Q9">_xlfn.IFS($H9="","No Data",$H9&lt;$Q$1,"Low Salary",$H9&gt;$Q$1,"Salary &gt; 85k",$H9=$Q$1,"85k")</f>
        <v>Salary &gt; 85k</v>
      </c>
      <c r="R9" t="str">
        <f t="shared" si="5"/>
        <v>Salary &gt; 85k</v>
      </c>
      <c r="S9" t="b">
        <f t="shared" si="6"/>
        <v>1</v>
      </c>
      <c r="T9" t="b">
        <f t="shared" si="7"/>
        <v>1</v>
      </c>
    </row>
    <row r="10" spans="1:20" x14ac:dyDescent="0.4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1"/>
        <v>Not Desired</v>
      </c>
      <c r="M10" t="str">
        <f t="shared" si="2"/>
        <v>Desired</v>
      </c>
      <c r="N10" t="b">
        <f>AND(Data_2!$K$1=$A10,Data_2!$L$1=$A10)</f>
        <v>0</v>
      </c>
      <c r="O10" t="b">
        <f t="shared" si="3"/>
        <v>1</v>
      </c>
      <c r="P10" t="str">
        <f t="shared" si="4"/>
        <v>Desired</v>
      </c>
      <c r="Q10" t="str" cm="1">
        <f t="array" ref="Q10">_xlfn.IFS($H10="","No Data",$H10&lt;$Q$1,"Low Salary",$H10&gt;$Q$1,"Salary &gt; 85k",$H10=$Q$1,"85k")</f>
        <v>No Data</v>
      </c>
      <c r="R10" t="str">
        <f t="shared" si="5"/>
        <v>No Data</v>
      </c>
      <c r="S10" t="b">
        <f t="shared" si="6"/>
        <v>1</v>
      </c>
      <c r="T10" t="b">
        <f t="shared" si="7"/>
        <v>1</v>
      </c>
    </row>
    <row r="11" spans="1:20" x14ac:dyDescent="0.4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1"/>
        <v>Not Desired</v>
      </c>
      <c r="M11" t="str">
        <f t="shared" si="2"/>
        <v>Desired</v>
      </c>
      <c r="N11" t="b">
        <f>AND(Data_2!$K$1=$A11,Data_2!$L$1=$A11)</f>
        <v>0</v>
      </c>
      <c r="O11" t="b">
        <f t="shared" si="3"/>
        <v>1</v>
      </c>
      <c r="P11" t="str">
        <f t="shared" si="4"/>
        <v>Desired</v>
      </c>
      <c r="Q11" t="str" cm="1">
        <f t="array" ref="Q11">_xlfn.IFS($H11="","No Data",$H11&lt;$Q$1,"Low Salary",$H11&gt;$Q$1,"Salary &gt; 85k",$H11=$Q$1,"85k")</f>
        <v>Salary &gt; 85k</v>
      </c>
      <c r="R11" t="str">
        <f t="shared" si="5"/>
        <v>Salary &gt; 85k</v>
      </c>
      <c r="S11" t="b">
        <f t="shared" si="6"/>
        <v>1</v>
      </c>
      <c r="T11" t="b">
        <f t="shared" si="7"/>
        <v>1</v>
      </c>
    </row>
    <row r="12" spans="1:20" x14ac:dyDescent="0.4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>AND(Data_2!$K$1=$A12,Data_2!$L$1=$A12)</f>
        <v>0</v>
      </c>
      <c r="O12" t="b">
        <f t="shared" si="3"/>
        <v>0</v>
      </c>
      <c r="P12" t="str">
        <f t="shared" si="4"/>
        <v>Not Desired</v>
      </c>
      <c r="Q12" t="str" cm="1">
        <f t="array" ref="Q12">_xlfn.IFS($H12="","No Data",$H12&lt;$Q$1,"Low Salary",$H12&gt;$Q$1,"Salary &gt; 85k",$H12=$Q$1,"85k")</f>
        <v>Salary &gt; 85k</v>
      </c>
      <c r="R12" t="str">
        <f t="shared" si="5"/>
        <v>Salary &gt; 85k</v>
      </c>
      <c r="S12" t="b">
        <f t="shared" si="6"/>
        <v>1</v>
      </c>
      <c r="T12" t="b">
        <f t="shared" si="7"/>
        <v>1</v>
      </c>
    </row>
    <row r="13" spans="1:20" x14ac:dyDescent="0.4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>AND(Data_2!$K$1=$A13,Data_2!$L$1=$A13)</f>
        <v>0</v>
      </c>
      <c r="O13" t="b">
        <f t="shared" si="3"/>
        <v>0</v>
      </c>
      <c r="P13" t="str">
        <f t="shared" si="4"/>
        <v>Not Desired</v>
      </c>
      <c r="Q13" t="str" cm="1">
        <f t="array" ref="Q13">_xlfn.IFS($H13="","No Data",$H13&lt;$Q$1,"Low Salary",$H13&gt;$Q$1,"Salary &gt; 85k",$H13=$Q$1,"85k")</f>
        <v>Salary &gt; 85k</v>
      </c>
      <c r="R13" t="str">
        <f t="shared" si="5"/>
        <v>Salary &gt; 85k</v>
      </c>
      <c r="S13" t="b">
        <f t="shared" si="6"/>
        <v>1</v>
      </c>
      <c r="T13" t="b">
        <f t="shared" si="7"/>
        <v>1</v>
      </c>
    </row>
    <row r="14" spans="1:20" x14ac:dyDescent="0.4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>AND(Data_2!$K$1=$A14,Data_2!$L$1=$A14)</f>
        <v>0</v>
      </c>
      <c r="O14" t="b">
        <f t="shared" si="3"/>
        <v>0</v>
      </c>
      <c r="P14" t="str">
        <f t="shared" si="4"/>
        <v>Not Desired</v>
      </c>
      <c r="Q14" t="str" cm="1">
        <f t="array" ref="Q14">_xlfn.IFS($H14="","No Data",$H14&lt;$Q$1,"Low Salary",$H14&gt;$Q$1,"Salary &gt; 85k",$H14=$Q$1,"85k")</f>
        <v>Salary &gt; 85k</v>
      </c>
      <c r="R14" t="str">
        <f t="shared" si="5"/>
        <v>Salary &gt; 85k</v>
      </c>
      <c r="S14" t="b">
        <f t="shared" si="6"/>
        <v>1</v>
      </c>
      <c r="T14" t="b">
        <f t="shared" si="7"/>
        <v>1</v>
      </c>
    </row>
    <row r="15" spans="1:20" x14ac:dyDescent="0.4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>AND(Data_2!$K$1=$A15,Data_2!$L$1=$A15)</f>
        <v>0</v>
      </c>
      <c r="O15" t="b">
        <f t="shared" si="3"/>
        <v>0</v>
      </c>
      <c r="P15" t="str">
        <f t="shared" si="4"/>
        <v>Not Desired</v>
      </c>
      <c r="Q15" t="str" cm="1">
        <f t="array" ref="Q15">_xlfn.IFS($H15="","No Data",$H15&lt;$Q$1,"Low Salary",$H15&gt;$Q$1,"Salary &gt; 85k",$H15=$Q$1,"85k")</f>
        <v>Low Salary</v>
      </c>
      <c r="R15" t="str">
        <f t="shared" si="5"/>
        <v>Low Salary</v>
      </c>
      <c r="S15" t="b">
        <f t="shared" si="6"/>
        <v>1</v>
      </c>
      <c r="T15" t="b">
        <f t="shared" si="7"/>
        <v>1</v>
      </c>
    </row>
    <row r="16" spans="1:20" x14ac:dyDescent="0.4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>AND(Data_2!$K$1=$A16,Data_2!$L$1=$A16)</f>
        <v>0</v>
      </c>
      <c r="O16" t="b">
        <f t="shared" si="3"/>
        <v>0</v>
      </c>
      <c r="P16" t="str">
        <f t="shared" si="4"/>
        <v>Not Desired</v>
      </c>
      <c r="Q16" t="str" cm="1">
        <f t="array" ref="Q16">_xlfn.IFS($H16="","No Data",$H16&lt;$Q$1,"Low Salary",$H16&gt;$Q$1,"Salary &gt; 85k",$H16=$Q$1,"85k")</f>
        <v>Salary &gt; 85k</v>
      </c>
      <c r="R16" t="str">
        <f t="shared" si="5"/>
        <v>Salary &gt; 85k</v>
      </c>
      <c r="S16" t="b">
        <f t="shared" si="6"/>
        <v>1</v>
      </c>
      <c r="T16" t="b">
        <f t="shared" si="7"/>
        <v>1</v>
      </c>
    </row>
    <row r="17" spans="1:20" x14ac:dyDescent="0.4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>AND(Data_2!$K$1=$A17,Data_2!$L$1=$A17)</f>
        <v>0</v>
      </c>
      <c r="O17" t="b">
        <f t="shared" si="3"/>
        <v>0</v>
      </c>
      <c r="P17" t="str">
        <f t="shared" si="4"/>
        <v>Not Desired</v>
      </c>
      <c r="Q17" t="str" cm="1">
        <f t="array" ref="Q17">_xlfn.IFS($H17="","No Data",$H17&lt;$Q$1,"Low Salary",$H17&gt;$Q$1,"Salary &gt; 85k",$H17=$Q$1,"85k")</f>
        <v>Salary &gt; 85k</v>
      </c>
      <c r="R17" t="str">
        <f t="shared" si="5"/>
        <v>Salary &gt; 85k</v>
      </c>
      <c r="S17" t="b">
        <f t="shared" si="6"/>
        <v>1</v>
      </c>
      <c r="T17" t="b">
        <f>Q17=R17</f>
        <v>1</v>
      </c>
    </row>
    <row r="18" spans="1:20" x14ac:dyDescent="0.4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>
        <v>85000</v>
      </c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Desired</v>
      </c>
      <c r="M18" t="str">
        <f t="shared" si="2"/>
        <v>Desired</v>
      </c>
      <c r="N18" t="b">
        <f>AND(Data_2!$K$1=$A18,Data_2!$L$1=$A18)</f>
        <v>0</v>
      </c>
      <c r="O18" t="b">
        <f t="shared" si="3"/>
        <v>1</v>
      </c>
      <c r="P18" t="str">
        <f t="shared" si="4"/>
        <v>Desired</v>
      </c>
      <c r="Q18" t="str" cm="1">
        <f t="array" ref="Q18">_xlfn.IFS($H18="","No Data",$H18&lt;$Q$1,"Low Salary",$H18&gt;$Q$1,"Salary &gt; 85k",$H18=$Q$1,"85k")</f>
        <v>85k</v>
      </c>
      <c r="R18" t="str">
        <f t="shared" si="5"/>
        <v>85k</v>
      </c>
      <c r="S18" t="b">
        <f t="shared" si="6"/>
        <v>1</v>
      </c>
      <c r="T18" t="b">
        <f t="shared" si="7"/>
        <v>1</v>
      </c>
    </row>
    <row r="19" spans="1:20" x14ac:dyDescent="0.4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>AND(Data_2!$K$1=$A19,Data_2!$L$1=$A19)</f>
        <v>0</v>
      </c>
      <c r="O19" t="b">
        <f t="shared" si="3"/>
        <v>0</v>
      </c>
      <c r="P19" t="str">
        <f t="shared" si="4"/>
        <v>Not Desired</v>
      </c>
      <c r="Q19" t="str" cm="1">
        <f t="array" ref="Q19">_xlfn.IFS($H19="","No Data",$H19&lt;$Q$1,"Low Salary",$H19&gt;$Q$1,"Salary &gt; 85k",$H19=$Q$1,"85k")</f>
        <v>Salary &gt; 85k</v>
      </c>
      <c r="R19" t="str">
        <f t="shared" si="5"/>
        <v>Salary &gt; 85k</v>
      </c>
      <c r="S19" t="b">
        <f t="shared" si="6"/>
        <v>1</v>
      </c>
      <c r="T19" t="b">
        <f t="shared" si="7"/>
        <v>1</v>
      </c>
    </row>
    <row r="20" spans="1:20" x14ac:dyDescent="0.4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>AND(Data_2!$K$1=$A20,Data_2!$L$1=$A20)</f>
        <v>0</v>
      </c>
      <c r="O20" t="b">
        <f t="shared" si="3"/>
        <v>0</v>
      </c>
      <c r="P20" t="str">
        <f t="shared" si="4"/>
        <v>Not Desired</v>
      </c>
      <c r="Q20" t="str" cm="1">
        <f t="array" ref="Q20">_xlfn.IFS($H20="","No Data",$H20&lt;$Q$1,"Low Salary",$H20&gt;$Q$1,"Salary &gt; 85k",$H20=$Q$1,"85k")</f>
        <v>No Data</v>
      </c>
      <c r="R20" t="str">
        <f t="shared" si="5"/>
        <v>No Data</v>
      </c>
      <c r="S20" t="b">
        <f t="shared" si="6"/>
        <v>1</v>
      </c>
      <c r="T20" t="b">
        <f t="shared" si="7"/>
        <v>1</v>
      </c>
    </row>
    <row r="21" spans="1:20" x14ac:dyDescent="0.4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Desired</v>
      </c>
      <c r="M21" t="str">
        <f t="shared" si="2"/>
        <v>Desired</v>
      </c>
      <c r="N21" t="b">
        <f>AND(Data_2!$K$1=$A21,Data_2!$L$1=$A21)</f>
        <v>0</v>
      </c>
      <c r="O21" t="b">
        <f t="shared" si="3"/>
        <v>1</v>
      </c>
      <c r="P21" t="str">
        <f t="shared" si="4"/>
        <v>Desired</v>
      </c>
      <c r="Q21" t="str" cm="1">
        <f t="array" ref="Q21">_xlfn.IFS($H21="","No Data",$H21&lt;$Q$1,"Low Salary",$H21&gt;$Q$1,"Salary &gt; 85k",$H21=$Q$1,"85k")</f>
        <v>Salary &gt; 85k</v>
      </c>
      <c r="R21" t="str">
        <f t="shared" si="5"/>
        <v>Salary &gt; 85k</v>
      </c>
      <c r="S21" t="b">
        <f t="shared" si="6"/>
        <v>1</v>
      </c>
      <c r="T21" t="b">
        <f t="shared" si="7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25" x14ac:dyDescent="0.45"/>
  <cols>
    <col min="1" max="1" width="16.86328125" bestFit="1" customWidth="1"/>
    <col min="2" max="2" width="17.3984375" hidden="1" customWidth="1"/>
    <col min="3" max="3" width="21.86328125" hidden="1" customWidth="1"/>
    <col min="4" max="4" width="11.1328125" hidden="1" customWidth="1"/>
    <col min="5" max="5" width="38.1328125" hidden="1" customWidth="1"/>
    <col min="6" max="6" width="14.59765625" hidden="1" customWidth="1"/>
    <col min="7" max="7" width="18.59765625" hidden="1" customWidth="1"/>
    <col min="8" max="8" width="13.86328125" bestFit="1" customWidth="1"/>
    <col min="9" max="9" width="19" hidden="1" customWidth="1"/>
    <col min="10" max="10" width="68.1328125" hidden="1" customWidth="1"/>
    <col min="11" max="11" width="15.86328125" bestFit="1" customWidth="1"/>
    <col min="12" max="12" width="19.1328125" bestFit="1" customWidth="1"/>
    <col min="13" max="13" width="14.265625" bestFit="1" customWidth="1"/>
    <col min="14" max="14" width="11.265625" bestFit="1" customWidth="1"/>
    <col min="15" max="15" width="10.1328125" bestFit="1" customWidth="1"/>
    <col min="16" max="16" width="14.265625" bestFit="1" customWidth="1"/>
    <col min="17" max="17" width="10.6640625" bestFit="1" customWidth="1"/>
    <col min="18" max="18" width="12.3984375" bestFit="1" customWidth="1"/>
  </cols>
  <sheetData>
    <row r="1" spans="1:18 16384:16384" x14ac:dyDescent="0.4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4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4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4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4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4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4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4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4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4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4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4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4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4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4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4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4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4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4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4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4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25" x14ac:dyDescent="0.45"/>
  <cols>
    <col min="1" max="1" width="6.59765625" customWidth="1"/>
    <col min="2" max="2" width="13.3984375" customWidth="1"/>
    <col min="3" max="3" width="31.3984375" bestFit="1" customWidth="1"/>
    <col min="4" max="4" width="60.3984375" bestFit="1" customWidth="1"/>
    <col min="5" max="5" width="19.6640625" bestFit="1" customWidth="1"/>
    <col min="6" max="6" width="17.59765625" bestFit="1" customWidth="1"/>
  </cols>
  <sheetData>
    <row r="2" spans="2:6" x14ac:dyDescent="0.4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4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4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4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4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4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4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4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25" x14ac:dyDescent="0.45"/>
  <cols>
    <col min="2" max="2" width="9.86328125" bestFit="1" customWidth="1"/>
    <col min="3" max="3" width="10.59765625" customWidth="1"/>
  </cols>
  <sheetData>
    <row r="1" spans="2:5" ht="14.65" thickBot="1" x14ac:dyDescent="0.5"/>
    <row r="2" spans="2:5" x14ac:dyDescent="0.4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4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4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4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65" thickBot="1" x14ac:dyDescent="0.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12oC Divesh</cp:lastModifiedBy>
  <dcterms:created xsi:type="dcterms:W3CDTF">2024-07-16T20:11:02Z</dcterms:created>
  <dcterms:modified xsi:type="dcterms:W3CDTF">2026-08-01T06:44:34Z</dcterms:modified>
</cp:coreProperties>
</file>