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 C E R\Desktop\Analytics\Excel_Data_Analytics_Course-main\2_Formulas_Functions\"/>
    </mc:Choice>
  </mc:AlternateContent>
  <xr:revisionPtr revIDLastSave="0" documentId="13_ncr:1_{D6D96FD4-126C-4788-A96B-D327EA1E10A6}" xr6:coauthVersionLast="47" xr6:coauthVersionMax="47" xr10:uidLastSave="{00000000-0000-0000-0000-000000000000}"/>
  <bookViews>
    <workbookView xWindow="-98" yWindow="-98" windowWidth="21795" windowHeight="13695" activeTab="1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9" l="1"/>
  <c r="C16" i="9"/>
  <c r="D16" i="9"/>
  <c r="C15" i="9"/>
  <c r="D17" i="9"/>
  <c r="D15" i="9"/>
  <c r="E15" i="9"/>
  <c r="F15" i="9"/>
  <c r="G15" i="9"/>
  <c r="H15" i="9"/>
  <c r="I15" i="9"/>
  <c r="J15" i="9"/>
  <c r="K15" i="9"/>
  <c r="E14" i="9"/>
  <c r="D14" i="9"/>
  <c r="C14" i="9"/>
  <c r="P8" i="9"/>
  <c r="E13" i="9"/>
  <c r="D13" i="9"/>
  <c r="C13" i="9"/>
  <c r="L12" i="9"/>
  <c r="P12" i="9" s="1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M9" i="9" s="1"/>
  <c r="F9" i="9"/>
  <c r="L8" i="9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P6" i="9" s="1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<sst xmlns="http://schemas.openxmlformats.org/spreadsheetml/2006/main" count="83" uniqueCount="49">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</sst>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1" fontId="3" fillId="0" borderId="4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06" zoomScaleNormal="100" workbookViewId="0">
      <selection activeCell="N13" sqref="N13"/>
    </sheetView>
  </sheetViews>
  <sheetFormatPr defaultColWidth="9" defaultRowHeight="14.25" x14ac:dyDescent="0.45"/>
  <cols>
    <col min="1" max="1" width="5.1328125" style="1" customWidth="1"/>
    <col min="2" max="2" width="22.6640625" style="1" bestFit="1" customWidth="1"/>
    <col min="3" max="3" width="10.3984375" style="1" customWidth="1"/>
    <col min="4" max="4" width="12.265625" style="1" customWidth="1"/>
    <col min="5" max="5" width="11.59765625" style="1" customWidth="1"/>
    <col min="6" max="7" width="8.53125" style="1" hidden="1" customWidth="1"/>
    <col min="8" max="8" width="6.796875" style="1" hidden="1" customWidth="1"/>
    <col min="9" max="9" width="7.19921875" style="1" hidden="1" customWidth="1"/>
    <col min="10" max="10" width="6.53125" style="1" hidden="1" customWidth="1"/>
    <col min="11" max="11" width="4.59765625" style="1" hidden="1" customWidth="1"/>
    <col min="12" max="12" width="15.33203125" style="1" bestFit="1" customWidth="1"/>
    <col min="13" max="13" width="11.265625" style="1" bestFit="1" customWidth="1"/>
    <col min="14" max="14" width="16.59765625" style="1" bestFit="1" customWidth="1"/>
    <col min="15" max="15" width="14.1328125" style="1" customWidth="1"/>
    <col min="16" max="16" width="11.86328125" style="1" customWidth="1"/>
    <col min="17" max="17" width="9" style="1"/>
    <col min="18" max="18" width="14" style="1" bestFit="1" customWidth="1"/>
    <col min="19" max="16384" width="9" style="1"/>
  </cols>
  <sheetData>
    <row r="1" spans="2:19" ht="14.65" thickBot="1" x14ac:dyDescent="0.5">
      <c r="G1" s="28"/>
    </row>
    <row r="2" spans="2:19" s="8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0</v>
      </c>
      <c r="M3" s="22" t="b">
        <f t="shared" ref="M3:M12" si="1">$G3&gt;=$S$4</f>
        <v>1</v>
      </c>
      <c r="N3" s="22">
        <f>L3*M3</f>
        <v>0</v>
      </c>
      <c r="O3" s="22" t="b">
        <f>L3*M3=1</f>
        <v>0</v>
      </c>
      <c r="P3" s="22" t="b">
        <f>AND(L3,M3)</f>
        <v>0</v>
      </c>
      <c r="R3" s="10" t="s">
        <v>22</v>
      </c>
      <c r="S3" s="40">
        <v>10</v>
      </c>
    </row>
    <row r="4" spans="2:19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0</v>
      </c>
      <c r="M6" s="22" t="b">
        <f t="shared" si="1"/>
        <v>1</v>
      </c>
      <c r="N6" s="22">
        <f t="shared" si="8"/>
        <v>0</v>
      </c>
      <c r="O6" s="22" t="b">
        <f t="shared" si="9"/>
        <v>0</v>
      </c>
      <c r="P6" s="22" t="b">
        <f t="shared" si="10"/>
        <v>0</v>
      </c>
    </row>
    <row r="7" spans="2:19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0</v>
      </c>
      <c r="M8" s="22" t="b">
        <f t="shared" si="1"/>
        <v>1</v>
      </c>
      <c r="N8" s="22">
        <f t="shared" si="8"/>
        <v>0</v>
      </c>
      <c r="O8" s="22" t="b">
        <f t="shared" si="9"/>
        <v>0</v>
      </c>
      <c r="P8" s="22" t="b">
        <f t="shared" si="10"/>
        <v>0</v>
      </c>
    </row>
    <row r="9" spans="2:19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>$G9&gt;=$S$4</f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0</v>
      </c>
      <c r="M10" s="22" t="b">
        <f t="shared" si="1"/>
        <v>1</v>
      </c>
      <c r="N10" s="22">
        <f t="shared" si="8"/>
        <v>0</v>
      </c>
      <c r="O10" s="22" t="b">
        <f t="shared" si="9"/>
        <v>0</v>
      </c>
      <c r="P10" s="22" t="b">
        <f t="shared" si="10"/>
        <v>0</v>
      </c>
    </row>
    <row r="11" spans="2:19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4.65" thickBot="1" x14ac:dyDescent="0.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0</v>
      </c>
      <c r="M12" s="22" t="b">
        <f t="shared" si="1"/>
        <v>1</v>
      </c>
      <c r="N12" s="22">
        <f t="shared" si="8"/>
        <v>0</v>
      </c>
      <c r="O12" s="22" t="b">
        <f t="shared" si="9"/>
        <v>0</v>
      </c>
      <c r="P12" s="22" t="b">
        <f t="shared" si="10"/>
        <v>0</v>
      </c>
    </row>
    <row r="13" spans="2:19" ht="14.65" thickTop="1" x14ac:dyDescent="0.45">
      <c r="B13" s="29" t="s">
        <v>27</v>
      </c>
      <c r="C13" s="19">
        <f>AVERAGE(C3:C12)</f>
        <v>5.3</v>
      </c>
      <c r="D13" s="19">
        <f>AVERAGE(D3:D12)</f>
        <v>119000</v>
      </c>
      <c r="E13" s="30">
        <f>AVERAGE(E3:E12)</f>
        <v>10400</v>
      </c>
    </row>
    <row r="14" spans="2:19" ht="14.65" thickBot="1" x14ac:dyDescent="0.5">
      <c r="B14" s="31" t="s">
        <v>28</v>
      </c>
      <c r="C14" s="20">
        <f>C13</f>
        <v>5.3</v>
      </c>
      <c r="D14" s="20">
        <f>D13</f>
        <v>119000</v>
      </c>
      <c r="E14" s="20">
        <f>E13</f>
        <v>10400</v>
      </c>
    </row>
    <row r="15" spans="2:19" ht="14.65" thickTop="1" x14ac:dyDescent="0.45">
      <c r="B15" s="29" t="s">
        <v>30</v>
      </c>
      <c r="C15" s="19">
        <f>COUNT(C3:C12)</f>
        <v>10</v>
      </c>
      <c r="D15" s="19">
        <f t="shared" ref="D15:K15" si="11">COUNT(D3:D12)</f>
        <v>10</v>
      </c>
      <c r="E15" s="19">
        <f t="shared" si="11"/>
        <v>10</v>
      </c>
      <c r="F15" s="19">
        <f t="shared" si="11"/>
        <v>10</v>
      </c>
      <c r="G15" s="19">
        <f t="shared" si="11"/>
        <v>10</v>
      </c>
      <c r="H15" s="19">
        <f t="shared" si="11"/>
        <v>10</v>
      </c>
      <c r="I15" s="19">
        <f t="shared" si="11"/>
        <v>10</v>
      </c>
      <c r="J15" s="19">
        <f t="shared" si="11"/>
        <v>0</v>
      </c>
      <c r="K15" s="19">
        <f t="shared" si="11"/>
        <v>0</v>
      </c>
    </row>
    <row r="16" spans="2:19" x14ac:dyDescent="0.45">
      <c r="B16" s="33" t="s">
        <v>31</v>
      </c>
      <c r="C16" s="18">
        <f>COUNTIF($C$3:$C$12,"&gt;=5")</f>
        <v>6</v>
      </c>
      <c r="D16" s="18">
        <f>COUNTIF($D$3:$D$12,"&gt;=90000")</f>
        <v>9</v>
      </c>
      <c r="E16" s="34"/>
    </row>
    <row r="17" spans="2:5" ht="14.65" thickBot="1" x14ac:dyDescent="0.5">
      <c r="B17" s="12" t="s">
        <v>31</v>
      </c>
      <c r="C17" s="18">
        <f>COUNTIF($C$3:$C$12,"&gt;="&amp;S3)</f>
        <v>1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tabSelected="1" zoomScale="120" zoomScaleNormal="120" workbookViewId="0">
      <selection activeCell="P15" sqref="P15"/>
    </sheetView>
  </sheetViews>
  <sheetFormatPr defaultColWidth="9" defaultRowHeight="14.25" x14ac:dyDescent="0.45"/>
  <cols>
    <col min="1" max="1" width="5.1328125" style="1" customWidth="1"/>
    <col min="2" max="2" width="22.6640625" style="1" bestFit="1" customWidth="1"/>
    <col min="3" max="3" width="10.3984375" style="1" customWidth="1"/>
    <col min="4" max="4" width="12.265625" style="1" customWidth="1"/>
    <col min="5" max="5" width="11.59765625" style="1" customWidth="1"/>
    <col min="6" max="6" width="10.59765625" style="1" hidden="1" customWidth="1"/>
    <col min="7" max="7" width="9" style="1" hidden="1" customWidth="1"/>
    <col min="8" max="9" width="11" style="1" hidden="1" customWidth="1"/>
    <col min="10" max="10" width="17.265625" style="1" hidden="1" customWidth="1"/>
    <col min="11" max="11" width="14.265625" style="1" hidden="1" customWidth="1"/>
    <col min="12" max="12" width="10.1328125" style="1" hidden="1" customWidth="1"/>
    <col min="13" max="13" width="9" style="1" hidden="1" customWidth="1"/>
    <col min="14" max="14" width="10.3984375" style="1" hidden="1" customWidth="1"/>
    <col min="15" max="15" width="14.1328125" style="1" customWidth="1"/>
    <col min="16" max="16" width="11.86328125" style="1" customWidth="1"/>
    <col min="17" max="17" width="9" style="1"/>
    <col min="18" max="18" width="14" style="1" bestFit="1" customWidth="1"/>
    <col min="19" max="16384" width="9" style="1"/>
  </cols>
  <sheetData>
    <row r="1" spans="2:19" ht="14.65" thickBot="1" x14ac:dyDescent="0.5">
      <c r="G1" s="28"/>
    </row>
    <row r="2" spans="2:19" s="8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4.65" thickBot="1" x14ac:dyDescent="0.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4.65" thickTop="1" x14ac:dyDescent="0.4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4.65" thickBot="1" x14ac:dyDescent="0.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4.65" thickTop="1" x14ac:dyDescent="0.4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4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4.65" thickBot="1" x14ac:dyDescent="0.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1" sqref="C11"/>
    </sheetView>
  </sheetViews>
  <sheetFormatPr defaultRowHeight="14.25" x14ac:dyDescent="0.45"/>
  <cols>
    <col min="1" max="1" width="2.06640625" customWidth="1"/>
    <col min="2" max="2" width="13.3984375" customWidth="1"/>
    <col min="3" max="3" width="31.3984375" bestFit="1" customWidth="1"/>
    <col min="4" max="4" width="60.3984375" bestFit="1" customWidth="1"/>
  </cols>
  <sheetData>
    <row r="2" spans="2:4" x14ac:dyDescent="0.45">
      <c r="B2" s="37" t="s">
        <v>32</v>
      </c>
      <c r="C2" s="37" t="s">
        <v>40</v>
      </c>
      <c r="D2" s="37" t="s">
        <v>33</v>
      </c>
    </row>
    <row r="3" spans="2:4" x14ac:dyDescent="0.45">
      <c r="B3" s="38" t="e">
        <f>1/0</f>
        <v>#DIV/0!</v>
      </c>
      <c r="C3" s="39" t="s">
        <v>41</v>
      </c>
      <c r="D3" s="38" t="s">
        <v>34</v>
      </c>
    </row>
    <row r="4" spans="2:4" x14ac:dyDescent="0.45">
      <c r="B4" s="38" t="e">
        <f>A4 + "text"</f>
        <v>#VALUE!</v>
      </c>
      <c r="C4" s="39" t="s">
        <v>42</v>
      </c>
      <c r="D4" s="38" t="s">
        <v>35</v>
      </c>
    </row>
    <row r="5" spans="2:4" x14ac:dyDescent="0.45">
      <c r="B5" s="9" t="e">
        <f>#REF!</f>
        <v>#REF!</v>
      </c>
      <c r="C5" s="39" t="s">
        <v>43</v>
      </c>
      <c r="D5" s="38" t="s">
        <v>48</v>
      </c>
    </row>
    <row r="6" spans="2:4" x14ac:dyDescent="0.4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4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45">
      <c r="B8" s="38" t="e">
        <f>SQRT(-1)</f>
        <v>#NUM!</v>
      </c>
      <c r="C8" s="39" t="s">
        <v>44</v>
      </c>
      <c r="D8" s="38" t="s">
        <v>38</v>
      </c>
    </row>
    <row r="9" spans="2:4" x14ac:dyDescent="0.4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12oC Divesh</cp:lastModifiedBy>
  <dcterms:created xsi:type="dcterms:W3CDTF">2024-07-16T20:11:02Z</dcterms:created>
  <dcterms:modified xsi:type="dcterms:W3CDTF">2026-08-01T06:44:38Z</dcterms:modified>
</cp:coreProperties>
</file>